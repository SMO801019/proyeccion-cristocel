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0ABC7F-1FD1-43B5-B11F-2A60AC71E52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oyección 36 Meses" sheetId="1" r:id="rId1"/>
    <sheet name="Gráfico 36 Me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A37" i="2"/>
  <c r="A36" i="2"/>
  <c r="A35" i="2"/>
  <c r="A34" i="2"/>
  <c r="A33" i="2"/>
  <c r="A32" i="2"/>
  <c r="A31" i="2"/>
  <c r="B30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45" i="1"/>
  <c r="C45" i="1"/>
  <c r="C37" i="2" s="1"/>
  <c r="B45" i="1"/>
  <c r="B37" i="2" s="1"/>
  <c r="F44" i="1"/>
  <c r="C44" i="1"/>
  <c r="C36" i="2" s="1"/>
  <c r="B44" i="1"/>
  <c r="B36" i="2" s="1"/>
  <c r="F43" i="1"/>
  <c r="C43" i="1"/>
  <c r="C35" i="2" s="1"/>
  <c r="B43" i="1"/>
  <c r="F42" i="1"/>
  <c r="C42" i="1"/>
  <c r="C34" i="2" s="1"/>
  <c r="B42" i="1"/>
  <c r="B34" i="2" s="1"/>
  <c r="F41" i="1"/>
  <c r="C41" i="1"/>
  <c r="C33" i="2" s="1"/>
  <c r="B41" i="1"/>
  <c r="F40" i="1"/>
  <c r="C40" i="1"/>
  <c r="C32" i="2" s="1"/>
  <c r="B40" i="1"/>
  <c r="B32" i="2" s="1"/>
  <c r="F39" i="1"/>
  <c r="C39" i="1"/>
  <c r="C31" i="2" s="1"/>
  <c r="B39" i="1"/>
  <c r="B31" i="2" s="1"/>
  <c r="F38" i="1"/>
  <c r="C38" i="1"/>
  <c r="C30" i="2" s="1"/>
  <c r="B38" i="1"/>
  <c r="F37" i="1"/>
  <c r="C37" i="1"/>
  <c r="C29" i="2" s="1"/>
  <c r="B37" i="1"/>
  <c r="B29" i="2" s="1"/>
  <c r="F36" i="1"/>
  <c r="C36" i="1"/>
  <c r="C28" i="2" s="1"/>
  <c r="B36" i="1"/>
  <c r="B28" i="2" s="1"/>
  <c r="F35" i="1"/>
  <c r="C35" i="1"/>
  <c r="C27" i="2" s="1"/>
  <c r="B35" i="1"/>
  <c r="F34" i="1"/>
  <c r="C34" i="1"/>
  <c r="C26" i="2" s="1"/>
  <c r="B34" i="1"/>
  <c r="B26" i="2" s="1"/>
  <c r="F33" i="1"/>
  <c r="C33" i="1"/>
  <c r="C25" i="2" s="1"/>
  <c r="B33" i="1"/>
  <c r="F32" i="1"/>
  <c r="C32" i="1"/>
  <c r="C24" i="2" s="1"/>
  <c r="B32" i="1"/>
  <c r="B24" i="2" s="1"/>
  <c r="F31" i="1"/>
  <c r="C31" i="1"/>
  <c r="C23" i="2" s="1"/>
  <c r="B31" i="1"/>
  <c r="B23" i="2" s="1"/>
  <c r="F30" i="1"/>
  <c r="C30" i="1"/>
  <c r="C22" i="2" s="1"/>
  <c r="B30" i="1"/>
  <c r="F29" i="1"/>
  <c r="C29" i="1"/>
  <c r="C21" i="2" s="1"/>
  <c r="B29" i="1"/>
  <c r="B21" i="2" s="1"/>
  <c r="F28" i="1"/>
  <c r="C28" i="1"/>
  <c r="C20" i="2" s="1"/>
  <c r="B28" i="1"/>
  <c r="B20" i="2" s="1"/>
  <c r="F27" i="1"/>
  <c r="C27" i="1"/>
  <c r="C19" i="2" s="1"/>
  <c r="B27" i="1"/>
  <c r="F26" i="1"/>
  <c r="C26" i="1"/>
  <c r="C18" i="2" s="1"/>
  <c r="B26" i="1"/>
  <c r="B18" i="2" s="1"/>
  <c r="F25" i="1"/>
  <c r="C25" i="1"/>
  <c r="C17" i="2" s="1"/>
  <c r="B25" i="1"/>
  <c r="F24" i="1"/>
  <c r="C24" i="1"/>
  <c r="C16" i="2" s="1"/>
  <c r="B24" i="1"/>
  <c r="B16" i="2" s="1"/>
  <c r="F23" i="1"/>
  <c r="C23" i="1"/>
  <c r="C15" i="2" s="1"/>
  <c r="B23" i="1"/>
  <c r="B15" i="2" s="1"/>
  <c r="F22" i="1"/>
  <c r="C22" i="1"/>
  <c r="C14" i="2" s="1"/>
  <c r="B22" i="1"/>
  <c r="F21" i="1"/>
  <c r="C21" i="1"/>
  <c r="C13" i="2" s="1"/>
  <c r="B21" i="1"/>
  <c r="B13" i="2" s="1"/>
  <c r="F20" i="1"/>
  <c r="C20" i="1"/>
  <c r="C12" i="2" s="1"/>
  <c r="B20" i="1"/>
  <c r="B12" i="2" s="1"/>
  <c r="F19" i="1"/>
  <c r="C19" i="1"/>
  <c r="C11" i="2" s="1"/>
  <c r="B19" i="1"/>
  <c r="B11" i="2" s="1"/>
  <c r="F18" i="1"/>
  <c r="C18" i="1"/>
  <c r="C10" i="2" s="1"/>
  <c r="B18" i="1"/>
  <c r="F17" i="1"/>
  <c r="C17" i="1"/>
  <c r="C9" i="2" s="1"/>
  <c r="B17" i="1"/>
  <c r="F16" i="1"/>
  <c r="C16" i="1"/>
  <c r="C8" i="2" s="1"/>
  <c r="B16" i="1"/>
  <c r="B8" i="2" s="1"/>
  <c r="F15" i="1"/>
  <c r="C15" i="1"/>
  <c r="C7" i="2" s="1"/>
  <c r="B15" i="1"/>
  <c r="B7" i="2" s="1"/>
  <c r="F14" i="1"/>
  <c r="C14" i="1"/>
  <c r="C6" i="2" s="1"/>
  <c r="B14" i="1"/>
  <c r="B6" i="2" s="1"/>
  <c r="F13" i="1"/>
  <c r="C13" i="1"/>
  <c r="B13" i="1"/>
  <c r="B5" i="2" s="1"/>
  <c r="C12" i="1"/>
  <c r="C4" i="2" s="1"/>
  <c r="B12" i="1"/>
  <c r="B4" i="2" s="1"/>
  <c r="F11" i="1"/>
  <c r="C11" i="1"/>
  <c r="C3" i="2" s="1"/>
  <c r="B11" i="1"/>
  <c r="D11" i="1" s="1"/>
  <c r="F10" i="1"/>
  <c r="C10" i="1"/>
  <c r="C2" i="2" s="1"/>
  <c r="B10" i="1"/>
  <c r="D10" i="1" s="1"/>
  <c r="D41" i="1" l="1"/>
  <c r="D33" i="2" s="1"/>
  <c r="D22" i="1"/>
  <c r="D14" i="2" s="1"/>
  <c r="D27" i="1"/>
  <c r="D19" i="2" s="1"/>
  <c r="B3" i="2"/>
  <c r="D24" i="1"/>
  <c r="D16" i="2" s="1"/>
  <c r="D18" i="1"/>
  <c r="D10" i="2" s="1"/>
  <c r="D17" i="1"/>
  <c r="D9" i="2" s="1"/>
  <c r="D30" i="1"/>
  <c r="D22" i="2" s="1"/>
  <c r="D32" i="1"/>
  <c r="D24" i="2" s="1"/>
  <c r="D35" i="1"/>
  <c r="D27" i="2" s="1"/>
  <c r="D43" i="1"/>
  <c r="D35" i="2" s="1"/>
  <c r="D25" i="1"/>
  <c r="D17" i="2" s="1"/>
  <c r="D38" i="1"/>
  <c r="D30" i="2" s="1"/>
  <c r="D40" i="1"/>
  <c r="D32" i="2" s="1"/>
  <c r="D33" i="1"/>
  <c r="D25" i="2" s="1"/>
  <c r="B25" i="2"/>
  <c r="D13" i="1"/>
  <c r="D5" i="2" s="1"/>
  <c r="B17" i="2"/>
  <c r="B22" i="2"/>
  <c r="B35" i="2"/>
  <c r="D14" i="1"/>
  <c r="D6" i="2" s="1"/>
  <c r="D16" i="1"/>
  <c r="D8" i="2" s="1"/>
  <c r="D19" i="1"/>
  <c r="D11" i="2" s="1"/>
  <c r="B9" i="2"/>
  <c r="B27" i="2"/>
  <c r="B14" i="2"/>
  <c r="B19" i="2"/>
  <c r="B33" i="2"/>
  <c r="D2" i="2"/>
  <c r="E10" i="1"/>
  <c r="E2" i="2" s="1"/>
  <c r="E11" i="1"/>
  <c r="E3" i="2" s="1"/>
  <c r="D3" i="2"/>
  <c r="D37" i="1"/>
  <c r="D23" i="1"/>
  <c r="D31" i="1"/>
  <c r="D39" i="1"/>
  <c r="D21" i="1"/>
  <c r="D26" i="1"/>
  <c r="D42" i="1"/>
  <c r="D28" i="1"/>
  <c r="D36" i="1"/>
  <c r="D44" i="1"/>
  <c r="D29" i="1"/>
  <c r="D45" i="1"/>
  <c r="D34" i="1"/>
  <c r="D15" i="1"/>
  <c r="B2" i="2"/>
  <c r="C5" i="2"/>
  <c r="B10" i="2"/>
  <c r="D12" i="1"/>
  <c r="D20" i="1"/>
  <c r="E12" i="1" l="1"/>
  <c r="D4" i="2"/>
  <c r="D31" i="2"/>
  <c r="D28" i="2"/>
  <c r="D23" i="2"/>
  <c r="D12" i="2"/>
  <c r="D37" i="2"/>
  <c r="D36" i="2"/>
  <c r="D15" i="2"/>
  <c r="D29" i="2"/>
  <c r="D21" i="2"/>
  <c r="D13" i="2"/>
  <c r="D20" i="2"/>
  <c r="D7" i="2"/>
  <c r="D34" i="2"/>
  <c r="D26" i="2"/>
  <c r="D18" i="2"/>
  <c r="E4" i="2" l="1"/>
  <c r="E13" i="1"/>
  <c r="E5" i="2" l="1"/>
  <c r="E14" i="1"/>
  <c r="E6" i="2" l="1"/>
  <c r="E15" i="1"/>
  <c r="E7" i="2" l="1"/>
  <c r="E16" i="1"/>
  <c r="E8" i="2" l="1"/>
  <c r="E17" i="1"/>
  <c r="E9" i="2" l="1"/>
  <c r="E18" i="1"/>
  <c r="E10" i="2" l="1"/>
  <c r="E19" i="1"/>
  <c r="E11" i="2" l="1"/>
  <c r="E20" i="1"/>
  <c r="E12" i="2" l="1"/>
  <c r="E21" i="1"/>
  <c r="E13" i="2" l="1"/>
  <c r="E22" i="1"/>
  <c r="E14" i="2" l="1"/>
  <c r="E23" i="1"/>
  <c r="E15" i="2" l="1"/>
  <c r="E24" i="1"/>
  <c r="E16" i="2" l="1"/>
  <c r="E25" i="1"/>
  <c r="E17" i="2" l="1"/>
  <c r="E26" i="1"/>
  <c r="E18" i="2" l="1"/>
  <c r="E27" i="1"/>
  <c r="E19" i="2" l="1"/>
  <c r="E28" i="1"/>
  <c r="E20" i="2" l="1"/>
  <c r="E29" i="1"/>
  <c r="E21" i="2" l="1"/>
  <c r="E30" i="1"/>
  <c r="E22" i="2" l="1"/>
  <c r="E31" i="1"/>
  <c r="E23" i="2" l="1"/>
  <c r="E32" i="1"/>
  <c r="E24" i="2" l="1"/>
  <c r="E33" i="1"/>
  <c r="E25" i="2" l="1"/>
  <c r="E34" i="1"/>
  <c r="E26" i="2" l="1"/>
  <c r="E35" i="1"/>
  <c r="E27" i="2" l="1"/>
  <c r="E36" i="1"/>
  <c r="E28" i="2" l="1"/>
  <c r="E37" i="1"/>
  <c r="E29" i="2" l="1"/>
  <c r="E38" i="1"/>
  <c r="E30" i="2" l="1"/>
  <c r="E39" i="1"/>
  <c r="E31" i="2" l="1"/>
  <c r="E40" i="1"/>
  <c r="E32" i="2" l="1"/>
  <c r="E41" i="1"/>
  <c r="E33" i="2" l="1"/>
  <c r="E42" i="1"/>
  <c r="E34" i="2" l="1"/>
  <c r="E43" i="1"/>
  <c r="E35" i="2" l="1"/>
  <c r="E44" i="1"/>
  <c r="E36" i="2" l="1"/>
  <c r="E45" i="1"/>
  <c r="E37" i="2" s="1"/>
</calcChain>
</file>

<file path=xl/sharedStrings.xml><?xml version="1.0" encoding="utf-8"?>
<sst xmlns="http://schemas.openxmlformats.org/spreadsheetml/2006/main" count="18" uniqueCount="13">
  <si>
    <t>VARIABLES GLOBALES</t>
  </si>
  <si>
    <t>Usuarios Nuevos por Mes</t>
  </si>
  <si>
    <t>Monto Recarga</t>
  </si>
  <si>
    <t>Comisión por Portabilidad</t>
  </si>
  <si>
    <t>Comisión Residual</t>
  </si>
  <si>
    <t>Degradación Segundo Mes (%)</t>
  </si>
  <si>
    <t>Degradación Mensual Posterior (%)</t>
  </si>
  <si>
    <t>Mes</t>
  </si>
  <si>
    <t>Ganancia por Activaciones (MXN)</t>
  </si>
  <si>
    <t>Ganancia Residual 10% (con Degradación) (MXN)</t>
  </si>
  <si>
    <t>Ganancia Total por Mes (MXN)</t>
  </si>
  <si>
    <t>Ganancia Acumulada (MXN)</t>
  </si>
  <si>
    <t>Usuarios Activos con Degradación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</si>
</sst>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8">
    <dxf>
      <numFmt numFmtId="3" formatCode="#,##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t>Proyección 36 Meses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'Gráfico 36 Meses'!$B$1</c:f>
              <c:strCache>
                <c:ptCount val="1"/>
                <c:pt idx="0">
                  <c:v>Ganancia por Activaciones (MXN)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'Gráfico 36 Meses'!$A$2:$A$37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'Gráfico 36 Meses'!$B$2:$B$37</c:f>
              <c:numCache>
                <c:formatCode>General</c:formatCode>
                <c:ptCount val="36"/>
                <c:pt idx="0">
                  <c:v>3125</c:v>
                </c:pt>
                <c:pt idx="1">
                  <c:v>3125</c:v>
                </c:pt>
                <c:pt idx="2">
                  <c:v>3125</c:v>
                </c:pt>
                <c:pt idx="3">
                  <c:v>3125</c:v>
                </c:pt>
                <c:pt idx="4">
                  <c:v>3125</c:v>
                </c:pt>
                <c:pt idx="5">
                  <c:v>3125</c:v>
                </c:pt>
                <c:pt idx="6">
                  <c:v>3125</c:v>
                </c:pt>
                <c:pt idx="7">
                  <c:v>3125</c:v>
                </c:pt>
                <c:pt idx="8">
                  <c:v>3125</c:v>
                </c:pt>
                <c:pt idx="9">
                  <c:v>3125</c:v>
                </c:pt>
                <c:pt idx="10">
                  <c:v>3125</c:v>
                </c:pt>
                <c:pt idx="11">
                  <c:v>3125</c:v>
                </c:pt>
                <c:pt idx="12">
                  <c:v>3125</c:v>
                </c:pt>
                <c:pt idx="13">
                  <c:v>3125</c:v>
                </c:pt>
                <c:pt idx="14">
                  <c:v>3125</c:v>
                </c:pt>
                <c:pt idx="15">
                  <c:v>3125</c:v>
                </c:pt>
                <c:pt idx="16">
                  <c:v>3125</c:v>
                </c:pt>
                <c:pt idx="17">
                  <c:v>3125</c:v>
                </c:pt>
                <c:pt idx="18">
                  <c:v>3125</c:v>
                </c:pt>
                <c:pt idx="19">
                  <c:v>3125</c:v>
                </c:pt>
                <c:pt idx="20">
                  <c:v>3125</c:v>
                </c:pt>
                <c:pt idx="21">
                  <c:v>3125</c:v>
                </c:pt>
                <c:pt idx="22">
                  <c:v>3125</c:v>
                </c:pt>
                <c:pt idx="23">
                  <c:v>3125</c:v>
                </c:pt>
                <c:pt idx="24">
                  <c:v>3125</c:v>
                </c:pt>
                <c:pt idx="25">
                  <c:v>3125</c:v>
                </c:pt>
                <c:pt idx="26">
                  <c:v>3125</c:v>
                </c:pt>
                <c:pt idx="27">
                  <c:v>3125</c:v>
                </c:pt>
                <c:pt idx="28">
                  <c:v>3125</c:v>
                </c:pt>
                <c:pt idx="29">
                  <c:v>3125</c:v>
                </c:pt>
                <c:pt idx="30">
                  <c:v>3125</c:v>
                </c:pt>
                <c:pt idx="31">
                  <c:v>3125</c:v>
                </c:pt>
                <c:pt idx="32">
                  <c:v>3125</c:v>
                </c:pt>
                <c:pt idx="33">
                  <c:v>3125</c:v>
                </c:pt>
                <c:pt idx="34">
                  <c:v>3125</c:v>
                </c:pt>
                <c:pt idx="35">
                  <c:v>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2B-4E2B-9F66-45DF8121EB03}"/>
            </c:ext>
          </c:extLst>
        </c:ser>
        <c:ser>
          <c:idx val="1"/>
          <c:order val="1"/>
          <c:tx>
            <c:strRef>
              <c:f>'Gráfico 36 Meses'!$C$1</c:f>
              <c:strCache>
                <c:ptCount val="1"/>
                <c:pt idx="0">
                  <c:v>Ganancia Residual 10% (con Degradación) (MXN)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'Gráfico 36 Meses'!$A$2:$A$37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'Gráfico 36 Meses'!$C$2:$C$37</c:f>
              <c:numCache>
                <c:formatCode>General</c:formatCode>
                <c:ptCount val="36"/>
                <c:pt idx="0">
                  <c:v>0</c:v>
                </c:pt>
                <c:pt idx="1">
                  <c:v>437.5</c:v>
                </c:pt>
                <c:pt idx="2">
                  <c:v>864.0625</c:v>
                </c:pt>
                <c:pt idx="3">
                  <c:v>1279.9609375</c:v>
                </c:pt>
                <c:pt idx="4">
                  <c:v>1685.4619140625</c:v>
                </c:pt>
                <c:pt idx="5">
                  <c:v>2080.8253662109373</c:v>
                </c:pt>
                <c:pt idx="6">
                  <c:v>2466.3047320556639</c:v>
                </c:pt>
                <c:pt idx="7">
                  <c:v>2842.1471137542721</c:v>
                </c:pt>
                <c:pt idx="8">
                  <c:v>3208.5934359104153</c:v>
                </c:pt>
                <c:pt idx="9">
                  <c:v>3565.8786000126547</c:v>
                </c:pt>
                <c:pt idx="10">
                  <c:v>3914.2316350123383</c:v>
                </c:pt>
                <c:pt idx="11">
                  <c:v>4253.8758441370301</c:v>
                </c:pt>
                <c:pt idx="12">
                  <c:v>4585.0289480336032</c:v>
                </c:pt>
                <c:pt idx="13">
                  <c:v>4907.9032243327638</c:v>
                </c:pt>
                <c:pt idx="14">
                  <c:v>5222.7056437244437</c:v>
                </c:pt>
                <c:pt idx="15">
                  <c:v>5529.6380026313327</c:v>
                </c:pt>
                <c:pt idx="16">
                  <c:v>5828.8970525655495</c:v>
                </c:pt>
                <c:pt idx="17">
                  <c:v>6120.6746262514107</c:v>
                </c:pt>
                <c:pt idx="18">
                  <c:v>6405.1577605951252</c:v>
                </c:pt>
                <c:pt idx="19">
                  <c:v>6682.5288165802476</c:v>
                </c:pt>
                <c:pt idx="20">
                  <c:v>6952.96559616574</c:v>
                </c:pt>
                <c:pt idx="21">
                  <c:v>7216.6414562615964</c:v>
                </c:pt>
                <c:pt idx="22">
                  <c:v>7473.7254198550572</c:v>
                </c:pt>
                <c:pt idx="23">
                  <c:v>7724.3822843586795</c:v>
                </c:pt>
                <c:pt idx="24">
                  <c:v>7968.7727272497132</c:v>
                </c:pt>
                <c:pt idx="25">
                  <c:v>8207.0534090684705</c:v>
                </c:pt>
                <c:pt idx="26">
                  <c:v>8439.3770738417588</c:v>
                </c:pt>
                <c:pt idx="27">
                  <c:v>8665.892646995715</c:v>
                </c:pt>
                <c:pt idx="28">
                  <c:v>8886.7453308208205</c:v>
                </c:pt>
                <c:pt idx="29">
                  <c:v>9102.0766975502993</c:v>
                </c:pt>
                <c:pt idx="30">
                  <c:v>9312.024780111542</c:v>
                </c:pt>
                <c:pt idx="31">
                  <c:v>9516.7241606087537</c:v>
                </c:pt>
                <c:pt idx="32">
                  <c:v>9716.3060565935339</c:v>
                </c:pt>
                <c:pt idx="33">
                  <c:v>9910.8984051786974</c:v>
                </c:pt>
                <c:pt idx="34">
                  <c:v>10100.625945049229</c:v>
                </c:pt>
                <c:pt idx="35">
                  <c:v>10285.610296422999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2B-4E2B-9F66-45DF8121EB03}"/>
            </c:ext>
          </c:extLst>
        </c:ser>
        <c:ser>
          <c:idx val="2"/>
          <c:order val="2"/>
          <c:tx>
            <c:strRef>
              <c:f>'Gráfico 36 Meses'!$D$1</c:f>
              <c:strCache>
                <c:ptCount val="1"/>
                <c:pt idx="0">
                  <c:v>Ganancia Total por Mes (MXN)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'Gráfico 36 Meses'!$A$2:$A$37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'Gráfico 36 Meses'!$D$2:$D$37</c:f>
              <c:numCache>
                <c:formatCode>General</c:formatCode>
                <c:ptCount val="36"/>
                <c:pt idx="0">
                  <c:v>3125</c:v>
                </c:pt>
                <c:pt idx="1">
                  <c:v>3562.5</c:v>
                </c:pt>
                <c:pt idx="2">
                  <c:v>3989.0625</c:v>
                </c:pt>
                <c:pt idx="3">
                  <c:v>4404.9609375</c:v>
                </c:pt>
                <c:pt idx="4">
                  <c:v>4810.4619140625</c:v>
                </c:pt>
                <c:pt idx="5">
                  <c:v>5205.8253662109373</c:v>
                </c:pt>
                <c:pt idx="6">
                  <c:v>5591.3047320556634</c:v>
                </c:pt>
                <c:pt idx="7">
                  <c:v>5967.1471137542721</c:v>
                </c:pt>
                <c:pt idx="8">
                  <c:v>6333.5934359104158</c:v>
                </c:pt>
                <c:pt idx="9">
                  <c:v>6690.8786000126547</c:v>
                </c:pt>
                <c:pt idx="10">
                  <c:v>7039.2316350123383</c:v>
                </c:pt>
                <c:pt idx="11">
                  <c:v>7378.8758441370301</c:v>
                </c:pt>
                <c:pt idx="12">
                  <c:v>7710.0289480336032</c:v>
                </c:pt>
                <c:pt idx="13">
                  <c:v>8032.9032243327638</c:v>
                </c:pt>
                <c:pt idx="14">
                  <c:v>8347.7056437244428</c:v>
                </c:pt>
                <c:pt idx="15">
                  <c:v>8654.6380026313327</c:v>
                </c:pt>
                <c:pt idx="16">
                  <c:v>8953.8970525655495</c:v>
                </c:pt>
                <c:pt idx="17">
                  <c:v>9245.6746262514098</c:v>
                </c:pt>
                <c:pt idx="18">
                  <c:v>9530.1577605951243</c:v>
                </c:pt>
                <c:pt idx="19">
                  <c:v>9807.5288165802485</c:v>
                </c:pt>
                <c:pt idx="20">
                  <c:v>10077.965596165741</c:v>
                </c:pt>
                <c:pt idx="21">
                  <c:v>10341.641456261597</c:v>
                </c:pt>
                <c:pt idx="22">
                  <c:v>10598.725419855058</c:v>
                </c:pt>
                <c:pt idx="23">
                  <c:v>10849.382284358679</c:v>
                </c:pt>
                <c:pt idx="24">
                  <c:v>11093.772727249714</c:v>
                </c:pt>
                <c:pt idx="25">
                  <c:v>11332.053409068471</c:v>
                </c:pt>
                <c:pt idx="26">
                  <c:v>11564.377073841759</c:v>
                </c:pt>
                <c:pt idx="27">
                  <c:v>11790.892646995715</c:v>
                </c:pt>
                <c:pt idx="28">
                  <c:v>12011.745330820821</c:v>
                </c:pt>
                <c:pt idx="29">
                  <c:v>12227.076697550299</c:v>
                </c:pt>
                <c:pt idx="30">
                  <c:v>12437.024780111542</c:v>
                </c:pt>
                <c:pt idx="31">
                  <c:v>12641.724160608754</c:v>
                </c:pt>
                <c:pt idx="32">
                  <c:v>12841.306056593534</c:v>
                </c:pt>
                <c:pt idx="33">
                  <c:v>13035.898405178697</c:v>
                </c:pt>
                <c:pt idx="34">
                  <c:v>13225.625945049229</c:v>
                </c:pt>
                <c:pt idx="35">
                  <c:v>13410.610296422999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2B-4E2B-9F66-45DF8121E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MXN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50FFC-4CCE-40E8-8490-D5C3C497352C}" name="Tabla1" displayName="Tabla1" ref="A9:F45" totalsRowShown="0" headerRowDxfId="5" dataDxfId="6">
  <autoFilter ref="A9:F45" xr:uid="{BEB50FFC-4CCE-40E8-8490-D5C3C497352C}"/>
  <tableColumns count="6">
    <tableColumn id="1" xr3:uid="{D730D9AC-7039-434E-AFB1-E6F79CAB0112}" name="Mes" dataDxfId="7"/>
    <tableColumn id="2" xr3:uid="{02E1AF09-21FD-40A4-9F04-1037E6894108}" name="Ganancia por Activaciones (MXN)" dataDxfId="4">
      <calculatedColumnFormula>$B$2*$B$3*$B$4</calculatedColumnFormula>
    </tableColumn>
    <tableColumn id="3" xr3:uid="{6E59E2F3-D5AD-4890-A634-D35187D18335}" name="Ganancia Residual 10% (con Degradación) (MXN)" dataDxfId="3"/>
    <tableColumn id="4" xr3:uid="{4A35418C-1B2D-4B76-AA1F-FA5E4B3EFDF9}" name="Ganancia Total por Mes (MXN)" dataDxfId="2">
      <calculatedColumnFormula>B10+C10</calculatedColumnFormula>
    </tableColumn>
    <tableColumn id="5" xr3:uid="{FAFECC10-9105-47A3-B9E9-2253A3F19468}" name="Ganancia Acumulada (MXN)" dataDxfId="1">
      <calculatedColumnFormula>D10+E9</calculatedColumnFormula>
    </tableColumn>
    <tableColumn id="6" xr3:uid="{00F6B01A-F2D3-459B-B6EB-408DDDA69F89}" name="Usuarios Activos con Degradació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D5" sqref="D5"/>
    </sheetView>
  </sheetViews>
  <sheetFormatPr baseColWidth="10" defaultColWidth="8.7265625" defaultRowHeight="14.5" x14ac:dyDescent="0.35"/>
  <cols>
    <col min="1" max="1" width="31.08984375" bestFit="1" customWidth="1"/>
    <col min="2" max="2" width="33.90625" bestFit="1" customWidth="1"/>
    <col min="3" max="3" width="47.1796875" bestFit="1" customWidth="1"/>
    <col min="4" max="4" width="31.6328125" bestFit="1" customWidth="1"/>
    <col min="5" max="5" width="29.26953125" bestFit="1" customWidth="1"/>
    <col min="6" max="6" width="34.08984375" bestFit="1" customWidth="1"/>
  </cols>
  <sheetData>
    <row r="1" spans="1:6" x14ac:dyDescent="0.35">
      <c r="A1" t="s">
        <v>0</v>
      </c>
    </row>
    <row r="2" spans="1:6" x14ac:dyDescent="0.35">
      <c r="A2" t="s">
        <v>1</v>
      </c>
      <c r="B2" s="1">
        <v>50</v>
      </c>
    </row>
    <row r="3" spans="1:6" x14ac:dyDescent="0.35">
      <c r="A3" t="s">
        <v>2</v>
      </c>
      <c r="B3" s="2">
        <v>125</v>
      </c>
    </row>
    <row r="4" spans="1:6" x14ac:dyDescent="0.35">
      <c r="A4" t="s">
        <v>3</v>
      </c>
      <c r="B4" s="3">
        <v>0.5</v>
      </c>
    </row>
    <row r="5" spans="1:6" x14ac:dyDescent="0.35">
      <c r="A5" t="s">
        <v>4</v>
      </c>
      <c r="B5" s="3">
        <v>0.1</v>
      </c>
    </row>
    <row r="6" spans="1:6" x14ac:dyDescent="0.35">
      <c r="A6" t="s">
        <v>5</v>
      </c>
      <c r="B6" s="3">
        <v>0.3</v>
      </c>
    </row>
    <row r="7" spans="1:6" x14ac:dyDescent="0.35">
      <c r="A7" t="s">
        <v>6</v>
      </c>
      <c r="B7" s="6">
        <v>2.5000000000000001E-2</v>
      </c>
    </row>
    <row r="9" spans="1:6" x14ac:dyDescent="0.3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</row>
    <row r="10" spans="1:6" x14ac:dyDescent="0.35">
      <c r="A10" s="1">
        <v>1</v>
      </c>
      <c r="B10" s="4">
        <f t="shared" ref="B10:B45" si="0">$B$2*$B$3*$B$4</f>
        <v>3125</v>
      </c>
      <c r="C10" s="4">
        <f>0</f>
        <v>0</v>
      </c>
      <c r="D10" s="4">
        <f t="shared" ref="D10:D45" si="1">B10+C10</f>
        <v>3125</v>
      </c>
      <c r="E10" s="4">
        <f>D10</f>
        <v>3125</v>
      </c>
      <c r="F10" s="5">
        <f>$B$2</f>
        <v>50</v>
      </c>
    </row>
    <row r="11" spans="1:6" x14ac:dyDescent="0.35">
      <c r="A11" s="1">
        <v>2</v>
      </c>
      <c r="B11" s="4">
        <f t="shared" si="0"/>
        <v>3125</v>
      </c>
      <c r="C11" s="4">
        <f>(1-$B$6)*$B$2*$B$3*$B$5</f>
        <v>437.5</v>
      </c>
      <c r="D11" s="4">
        <f t="shared" si="1"/>
        <v>3562.5</v>
      </c>
      <c r="E11" s="4">
        <f t="shared" ref="E11:E45" si="2">D11+E10</f>
        <v>6687.5</v>
      </c>
      <c r="F11" s="5">
        <f>$B$2+(1-$B$6)*$B$2</f>
        <v>85</v>
      </c>
    </row>
    <row r="12" spans="1:6" x14ac:dyDescent="0.35">
      <c r="A12" s="1">
        <v>3</v>
      </c>
      <c r="B12" s="4">
        <f t="shared" si="0"/>
        <v>3125</v>
      </c>
      <c r="C12" s="4">
        <f>(1-$B$6)*(1-$B$7)^1*$B$2*$B$3*$B$5+(1-$B$6)*$B$2*$B$3*$B$5</f>
        <v>864.0625</v>
      </c>
      <c r="D12" s="4">
        <f t="shared" si="1"/>
        <v>3989.0625</v>
      </c>
      <c r="E12" s="4">
        <f t="shared" si="2"/>
        <v>10676.5625</v>
      </c>
      <c r="F12" s="5">
        <f>$B$2+(1-$B$6)*(1-$B$7)^1*$B$2+(1-$B$6)*$B$2</f>
        <v>119.125</v>
      </c>
    </row>
    <row r="13" spans="1:6" x14ac:dyDescent="0.35">
      <c r="A13" s="1">
        <v>4</v>
      </c>
      <c r="B13" s="4">
        <f t="shared" si="0"/>
        <v>3125</v>
      </c>
      <c r="C13" s="4">
        <f>(1-$B$6)*(1-$B$7)^2*$B$2*$B$3*$B$5+(1-$B$6)*(1-$B$7)^1*$B$2*$B$3*$B$5+(1-$B$6)*$B$2*$B$3*$B$5</f>
        <v>1279.9609375</v>
      </c>
      <c r="D13" s="4">
        <f t="shared" si="1"/>
        <v>4404.9609375</v>
      </c>
      <c r="E13" s="4">
        <f t="shared" si="2"/>
        <v>15081.5234375</v>
      </c>
      <c r="F13" s="5">
        <f>$B$2+(1-$B$6)*(1-$B$7)^2*$B$2+(1-$B$6)*(1-$B$7)^1*$B$2+(1-$B$6)*$B$2</f>
        <v>152.39687499999999</v>
      </c>
    </row>
    <row r="14" spans="1:6" x14ac:dyDescent="0.35">
      <c r="A14" s="1">
        <v>5</v>
      </c>
      <c r="B14" s="4">
        <f t="shared" si="0"/>
        <v>3125</v>
      </c>
      <c r="C14" s="4">
        <f>(1-$B$6)*(1-$B$7)^3*$B$2*$B$3*$B$5+(1-$B$6)*(1-$B$7)^2*$B$2*$B$3*$B$5+(1-$B$6)*(1-$B$7)^1*$B$2*$B$3*$B$5+(1-$B$6)*$B$2*$B$3*$B$5</f>
        <v>1685.4619140625</v>
      </c>
      <c r="D14" s="4">
        <f t="shared" si="1"/>
        <v>4810.4619140625</v>
      </c>
      <c r="E14" s="4">
        <f t="shared" si="2"/>
        <v>19891.9853515625</v>
      </c>
      <c r="F14" s="5">
        <f>$B$2+(1-$B$6)*(1-$B$7)^3*$B$2+(1-$B$6)*(1-$B$7)^2*$B$2+(1-$B$6)*(1-$B$7)^1*$B$2+(1-$B$6)*$B$2</f>
        <v>184.83695312499998</v>
      </c>
    </row>
    <row r="15" spans="1:6" x14ac:dyDescent="0.35">
      <c r="A15" s="1">
        <v>6</v>
      </c>
      <c r="B15" s="4">
        <f t="shared" si="0"/>
        <v>3125</v>
      </c>
      <c r="C15" s="4">
        <f>(1-$B$6)*(1-$B$7)^4*$B$2*$B$3*$B$5+(1-$B$6)*(1-$B$7)^3*$B$2*$B$3*$B$5+(1-$B$6)*(1-$B$7)^2*$B$2*$B$3*$B$5+(1-$B$6)*(1-$B$7)^1*$B$2*$B$3*$B$5+(1-$B$6)*$B$2*$B$3*$B$5</f>
        <v>2080.8253662109373</v>
      </c>
      <c r="D15" s="4">
        <f t="shared" si="1"/>
        <v>5205.8253662109373</v>
      </c>
      <c r="E15" s="4">
        <f t="shared" si="2"/>
        <v>25097.810717773438</v>
      </c>
      <c r="F15" s="5">
        <f>$B$2+(1-$B$6)*(1-$B$7)^4*$B$2+(1-$B$6)*(1-$B$7)^3*$B$2+(1-$B$6)*(1-$B$7)^2*$B$2+(1-$B$6)*(1-$B$7)^1*$B$2+(1-$B$6)*$B$2</f>
        <v>216.46602929687498</v>
      </c>
    </row>
    <row r="16" spans="1:6" x14ac:dyDescent="0.35">
      <c r="A16" s="1">
        <v>7</v>
      </c>
      <c r="B16" s="4">
        <f t="shared" si="0"/>
        <v>3125</v>
      </c>
      <c r="C16" s="4">
        <f>(1-$B$6)*(1-$B$7)^5*$B$2*$B$3*$B$5+(1-$B$6)*(1-$B$7)^4*$B$2*$B$3*$B$5+(1-$B$6)*(1-$B$7)^3*$B$2*$B$3*$B$5+(1-$B$6)*(1-$B$7)^2*$B$2*$B$3*$B$5+(1-$B$6)*(1-$B$7)^1*$B$2*$B$3*$B$5+(1-$B$6)*$B$2*$B$3*$B$5</f>
        <v>2466.3047320556639</v>
      </c>
      <c r="D16" s="4">
        <f t="shared" si="1"/>
        <v>5591.3047320556634</v>
      </c>
      <c r="E16" s="4">
        <f t="shared" si="2"/>
        <v>30689.1154498291</v>
      </c>
      <c r="F16" s="5">
        <f>$B$2+(1-$B$6)*(1-$B$7)^5*$B$2+(1-$B$6)*(1-$B$7)^4*$B$2+(1-$B$6)*(1-$B$7)^3*$B$2+(1-$B$6)*(1-$B$7)^2*$B$2+(1-$B$6)*(1-$B$7)^1*$B$2+(1-$B$6)*$B$2</f>
        <v>247.30437856445309</v>
      </c>
    </row>
    <row r="17" spans="1:6" x14ac:dyDescent="0.35">
      <c r="A17" s="1">
        <v>8</v>
      </c>
      <c r="B17" s="4">
        <f t="shared" si="0"/>
        <v>3125</v>
      </c>
      <c r="C17" s="4">
        <f>(1-$B$6)*(1-$B$7)^6*$B$2*$B$3*$B$5+(1-$B$6)*(1-$B$7)^5*$B$2*$B$3*$B$5+(1-$B$6)*(1-$B$7)^4*$B$2*$B$3*$B$5+(1-$B$6)*(1-$B$7)^3*$B$2*$B$3*$B$5+(1-$B$6)*(1-$B$7)^2*$B$2*$B$3*$B$5+(1-$B$6)*(1-$B$7)^1*$B$2*$B$3*$B$5+(1-$B$6)*$B$2*$B$3*$B$5</f>
        <v>2842.1471137542721</v>
      </c>
      <c r="D17" s="4">
        <f t="shared" si="1"/>
        <v>5967.1471137542721</v>
      </c>
      <c r="E17" s="4">
        <f t="shared" si="2"/>
        <v>36656.262563583368</v>
      </c>
      <c r="F17" s="5">
        <f>$B$2+(1-$B$6)*(1-$B$7)^6*$B$2+(1-$B$6)*(1-$B$7)^5*$B$2+(1-$B$6)*(1-$B$7)^4*$B$2+(1-$B$6)*(1-$B$7)^3*$B$2+(1-$B$6)*(1-$B$7)^2*$B$2+(1-$B$6)*(1-$B$7)^1*$B$2+(1-$B$6)*$B$2</f>
        <v>277.37176910034179</v>
      </c>
    </row>
    <row r="18" spans="1:6" x14ac:dyDescent="0.35">
      <c r="A18" s="1">
        <v>9</v>
      </c>
      <c r="B18" s="4">
        <f t="shared" si="0"/>
        <v>3125</v>
      </c>
      <c r="C18" s="4">
        <f>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3208.5934359104153</v>
      </c>
      <c r="D18" s="4">
        <f t="shared" si="1"/>
        <v>6333.5934359104158</v>
      </c>
      <c r="E18" s="4">
        <f t="shared" si="2"/>
        <v>42989.855999493782</v>
      </c>
      <c r="F18" s="5">
        <f>$B$2+(1-$B$6)*(1-$B$7)^7*$B$2+(1-$B$6)*(1-$B$7)^6*$B$2+(1-$B$6)*(1-$B$7)^5*$B$2+(1-$B$6)*(1-$B$7)^4*$B$2+(1-$B$6)*(1-$B$7)^3*$B$2+(1-$B$6)*(1-$B$7)^2*$B$2+(1-$B$6)*(1-$B$7)^1*$B$2+(1-$B$6)*$B$2</f>
        <v>306.68747487283321</v>
      </c>
    </row>
    <row r="19" spans="1:6" x14ac:dyDescent="0.35">
      <c r="A19" s="1">
        <v>10</v>
      </c>
      <c r="B19" s="4">
        <f t="shared" si="0"/>
        <v>3125</v>
      </c>
      <c r="C19" s="4">
        <f>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3565.8786000126547</v>
      </c>
      <c r="D19" s="4">
        <f t="shared" si="1"/>
        <v>6690.8786000126547</v>
      </c>
      <c r="E19" s="4">
        <f t="shared" si="2"/>
        <v>49680.734599506439</v>
      </c>
      <c r="F19" s="5">
        <f>$B$2+(1-$B$6)*(1-$B$7)^8*$B$2+(1-$B$6)*(1-$B$7)^7*$B$2+(1-$B$6)*(1-$B$7)^6*$B$2+(1-$B$6)*(1-$B$7)^5*$B$2+(1-$B$6)*(1-$B$7)^4*$B$2+(1-$B$6)*(1-$B$7)^3*$B$2+(1-$B$6)*(1-$B$7)^2*$B$2+(1-$B$6)*(1-$B$7)^1*$B$2+(1-$B$6)*$B$2</f>
        <v>335.27028800101232</v>
      </c>
    </row>
    <row r="20" spans="1:6" x14ac:dyDescent="0.35">
      <c r="A20" s="1">
        <v>11</v>
      </c>
      <c r="B20" s="4">
        <f t="shared" si="0"/>
        <v>3125</v>
      </c>
      <c r="C20" s="4">
        <f>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3914.2316350123383</v>
      </c>
      <c r="D20" s="4">
        <f t="shared" si="1"/>
        <v>7039.2316350123383</v>
      </c>
      <c r="E20" s="4">
        <f t="shared" si="2"/>
        <v>56719.966234518775</v>
      </c>
      <c r="F20" s="5">
        <f>$B$2+(1-$B$6)*(1-$B$7)^9*$B$2+(1-$B$6)*(1-$B$7)^8*$B$2+(1-$B$6)*(1-$B$7)^7*$B$2+(1-$B$6)*(1-$B$7)^6*$B$2+(1-$B$6)*(1-$B$7)^5*$B$2+(1-$B$6)*(1-$B$7)^4*$B$2+(1-$B$6)*(1-$B$7)^3*$B$2+(1-$B$6)*(1-$B$7)^2*$B$2+(1-$B$6)*(1-$B$7)^1*$B$2+(1-$B$6)*$B$2</f>
        <v>363.13853080098704</v>
      </c>
    </row>
    <row r="21" spans="1:6" x14ac:dyDescent="0.35">
      <c r="A21" s="1">
        <v>12</v>
      </c>
      <c r="B21" s="4">
        <f t="shared" si="0"/>
        <v>3125</v>
      </c>
      <c r="C21" s="4">
        <f>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4253.8758441370301</v>
      </c>
      <c r="D21" s="4">
        <f t="shared" si="1"/>
        <v>7378.8758441370301</v>
      </c>
      <c r="E21" s="4">
        <f t="shared" si="2"/>
        <v>64098.842078655805</v>
      </c>
      <c r="F21" s="5">
        <f>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390.31006753096233</v>
      </c>
    </row>
    <row r="22" spans="1:6" x14ac:dyDescent="0.35">
      <c r="A22" s="1">
        <v>13</v>
      </c>
      <c r="B22" s="4">
        <f t="shared" si="0"/>
        <v>3125</v>
      </c>
      <c r="C22" s="4">
        <f>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4585.0289480336032</v>
      </c>
      <c r="D22" s="4">
        <f t="shared" si="1"/>
        <v>7710.0289480336032</v>
      </c>
      <c r="E22" s="4">
        <f t="shared" si="2"/>
        <v>71808.871026689405</v>
      </c>
      <c r="F22" s="5">
        <f>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416.80231584268836</v>
      </c>
    </row>
    <row r="23" spans="1:6" x14ac:dyDescent="0.35">
      <c r="A23" s="1">
        <v>14</v>
      </c>
      <c r="B23" s="4">
        <f t="shared" si="0"/>
        <v>3125</v>
      </c>
      <c r="C23" s="4">
        <f>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4907.9032243327638</v>
      </c>
      <c r="D23" s="4">
        <f t="shared" si="1"/>
        <v>8032.9032243327638</v>
      </c>
      <c r="E23" s="4">
        <f t="shared" si="2"/>
        <v>79841.774251022172</v>
      </c>
      <c r="F23" s="5">
        <f>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442.63225794662105</v>
      </c>
    </row>
    <row r="24" spans="1:6" x14ac:dyDescent="0.35">
      <c r="A24" s="1">
        <v>15</v>
      </c>
      <c r="B24" s="4">
        <f t="shared" si="0"/>
        <v>3125</v>
      </c>
      <c r="C24" s="4">
        <f>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5222.7056437244437</v>
      </c>
      <c r="D24" s="4">
        <f t="shared" si="1"/>
        <v>8347.7056437244428</v>
      </c>
      <c r="E24" s="4">
        <f t="shared" si="2"/>
        <v>88189.479894746619</v>
      </c>
      <c r="F24" s="5">
        <f>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467.81645149795554</v>
      </c>
    </row>
    <row r="25" spans="1:6" x14ac:dyDescent="0.35">
      <c r="A25" s="1">
        <v>16</v>
      </c>
      <c r="B25" s="4">
        <f t="shared" si="0"/>
        <v>3125</v>
      </c>
      <c r="C25" s="4">
        <f>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5529.6380026313327</v>
      </c>
      <c r="D25" s="4">
        <f t="shared" si="1"/>
        <v>8654.6380026313327</v>
      </c>
      <c r="E25" s="4">
        <f t="shared" si="2"/>
        <v>96844.117897377946</v>
      </c>
      <c r="F25" s="5">
        <f>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492.37104021050664</v>
      </c>
    </row>
    <row r="26" spans="1:6" x14ac:dyDescent="0.35">
      <c r="A26" s="1">
        <v>17</v>
      </c>
      <c r="B26" s="4">
        <f t="shared" si="0"/>
        <v>3125</v>
      </c>
      <c r="C26" s="4">
        <f>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5828.8970525655495</v>
      </c>
      <c r="D26" s="4">
        <f t="shared" si="1"/>
        <v>8953.8970525655495</v>
      </c>
      <c r="E26" s="4">
        <f t="shared" si="2"/>
        <v>105798.01494994349</v>
      </c>
      <c r="F26" s="5">
        <f>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516.311764205244</v>
      </c>
    </row>
    <row r="27" spans="1:6" x14ac:dyDescent="0.35">
      <c r="A27" s="1">
        <v>18</v>
      </c>
      <c r="B27" s="4">
        <f t="shared" si="0"/>
        <v>3125</v>
      </c>
      <c r="C27" s="4">
        <f>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6120.6746262514107</v>
      </c>
      <c r="D27" s="4">
        <f t="shared" si="1"/>
        <v>9245.6746262514098</v>
      </c>
      <c r="E27" s="4">
        <f t="shared" si="2"/>
        <v>115043.6895761949</v>
      </c>
      <c r="F27" s="5">
        <f>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539.65397010011282</v>
      </c>
    </row>
    <row r="28" spans="1:6" x14ac:dyDescent="0.35">
      <c r="A28" s="1">
        <v>19</v>
      </c>
      <c r="B28" s="4">
        <f t="shared" si="0"/>
        <v>3125</v>
      </c>
      <c r="C28" s="4">
        <f>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6405.1577605951252</v>
      </c>
      <c r="D28" s="4">
        <f t="shared" si="1"/>
        <v>9530.1577605951243</v>
      </c>
      <c r="E28" s="4">
        <f t="shared" si="2"/>
        <v>124573.84733679003</v>
      </c>
      <c r="F28" s="5">
        <f>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562.41262084761001</v>
      </c>
    </row>
    <row r="29" spans="1:6" x14ac:dyDescent="0.35">
      <c r="A29" s="1">
        <v>20</v>
      </c>
      <c r="B29" s="4">
        <f t="shared" si="0"/>
        <v>3125</v>
      </c>
      <c r="C29" s="4">
        <f>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6682.5288165802476</v>
      </c>
      <c r="D29" s="4">
        <f t="shared" si="1"/>
        <v>9807.5288165802485</v>
      </c>
      <c r="E29" s="4">
        <f t="shared" si="2"/>
        <v>134381.37615337028</v>
      </c>
      <c r="F29" s="5">
        <f>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584.6023053264197</v>
      </c>
    </row>
    <row r="30" spans="1:6" x14ac:dyDescent="0.35">
      <c r="A30" s="1">
        <v>21</v>
      </c>
      <c r="B30" s="4">
        <f t="shared" si="0"/>
        <v>3125</v>
      </c>
      <c r="C30" s="4">
        <f>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6952.96559616574</v>
      </c>
      <c r="D30" s="4">
        <f t="shared" si="1"/>
        <v>10077.965596165741</v>
      </c>
      <c r="E30" s="4">
        <f t="shared" si="2"/>
        <v>144459.34174953602</v>
      </c>
      <c r="F30" s="5">
        <f>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606.23724769325918</v>
      </c>
    </row>
    <row r="31" spans="1:6" x14ac:dyDescent="0.35">
      <c r="A31" s="1">
        <v>22</v>
      </c>
      <c r="B31" s="4">
        <f t="shared" si="0"/>
        <v>3125</v>
      </c>
      <c r="C31" s="4">
        <f>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7216.6414562615964</v>
      </c>
      <c r="D31" s="4">
        <f t="shared" si="1"/>
        <v>10341.641456261597</v>
      </c>
      <c r="E31" s="4">
        <f t="shared" si="2"/>
        <v>154800.98320579762</v>
      </c>
      <c r="F31" s="5">
        <f>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627.33131650092776</v>
      </c>
    </row>
    <row r="32" spans="1:6" x14ac:dyDescent="0.35">
      <c r="A32" s="1">
        <v>23</v>
      </c>
      <c r="B32" s="4">
        <f t="shared" si="0"/>
        <v>3125</v>
      </c>
      <c r="C32" s="4">
        <f>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7473.7254198550572</v>
      </c>
      <c r="D32" s="4">
        <f t="shared" si="1"/>
        <v>10598.725419855058</v>
      </c>
      <c r="E32" s="4">
        <f t="shared" si="2"/>
        <v>165399.70862565268</v>
      </c>
      <c r="F32" s="5">
        <f>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647.89803358840447</v>
      </c>
    </row>
    <row r="33" spans="1:6" x14ac:dyDescent="0.35">
      <c r="A33" s="1">
        <v>24</v>
      </c>
      <c r="B33" s="4">
        <f t="shared" si="0"/>
        <v>3125</v>
      </c>
      <c r="C33" s="4">
        <f>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7724.3822843586795</v>
      </c>
      <c r="D33" s="4">
        <f t="shared" si="1"/>
        <v>10849.382284358679</v>
      </c>
      <c r="E33" s="4">
        <f t="shared" si="2"/>
        <v>176249.09091001135</v>
      </c>
      <c r="F33" s="5">
        <f>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667.95058274869439</v>
      </c>
    </row>
    <row r="34" spans="1:6" x14ac:dyDescent="0.35">
      <c r="A34" s="1">
        <v>25</v>
      </c>
      <c r="B34" s="4">
        <f t="shared" si="0"/>
        <v>3125</v>
      </c>
      <c r="C34" s="4">
        <f>(1-$B$6)*(1-$B$7)^23*$B$2*$B$3*$B$5+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7968.7727272497132</v>
      </c>
      <c r="D34" s="4">
        <f t="shared" si="1"/>
        <v>11093.772727249714</v>
      </c>
      <c r="E34" s="4">
        <f t="shared" si="2"/>
        <v>187342.86363726106</v>
      </c>
      <c r="F34" s="5">
        <f>$B$2+(1-$B$6)*(1-$B$7)^23*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687.50181817997714</v>
      </c>
    </row>
    <row r="35" spans="1:6" x14ac:dyDescent="0.35">
      <c r="A35" s="1">
        <v>26</v>
      </c>
      <c r="B35" s="4">
        <f t="shared" si="0"/>
        <v>3125</v>
      </c>
      <c r="C35" s="4">
        <f>(1-$B$6)*(1-$B$7)^24*$B$2*$B$3*$B$5+(1-$B$6)*(1-$B$7)^23*$B$2*$B$3*$B$5+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8207.0534090684705</v>
      </c>
      <c r="D35" s="4">
        <f t="shared" si="1"/>
        <v>11332.053409068471</v>
      </c>
      <c r="E35" s="4">
        <f t="shared" si="2"/>
        <v>198674.91704632953</v>
      </c>
      <c r="F35" s="5">
        <f>$B$2+(1-$B$6)*(1-$B$7)^24*$B$2+(1-$B$6)*(1-$B$7)^23*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706.56427272547762</v>
      </c>
    </row>
    <row r="36" spans="1:6" x14ac:dyDescent="0.35">
      <c r="A36" s="1">
        <v>27</v>
      </c>
      <c r="B36" s="4">
        <f t="shared" si="0"/>
        <v>3125</v>
      </c>
      <c r="C36" s="4">
        <f>(1-$B$6)*(1-$B$7)^25*$B$2*$B$3*$B$5+(1-$B$6)*(1-$B$7)^24*$B$2*$B$3*$B$5+(1-$B$6)*(1-$B$7)^23*$B$2*$B$3*$B$5+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8439.3770738417588</v>
      </c>
      <c r="D36" s="4">
        <f t="shared" si="1"/>
        <v>11564.377073841759</v>
      </c>
      <c r="E36" s="4">
        <f t="shared" si="2"/>
        <v>210239.29412017128</v>
      </c>
      <c r="F36" s="5">
        <f>$B$2+(1-$B$6)*(1-$B$7)^25*$B$2+(1-$B$6)*(1-$B$7)^24*$B$2+(1-$B$6)*(1-$B$7)^23*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725.15016590734069</v>
      </c>
    </row>
    <row r="37" spans="1:6" x14ac:dyDescent="0.35">
      <c r="A37" s="1">
        <v>28</v>
      </c>
      <c r="B37" s="4">
        <f t="shared" si="0"/>
        <v>3125</v>
      </c>
      <c r="C37" s="4">
        <f>(1-$B$6)*(1-$B$7)^26*$B$2*$B$3*$B$5+(1-$B$6)*(1-$B$7)^25*$B$2*$B$3*$B$5+(1-$B$6)*(1-$B$7)^24*$B$2*$B$3*$B$5+(1-$B$6)*(1-$B$7)^23*$B$2*$B$3*$B$5+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8665.892646995715</v>
      </c>
      <c r="D37" s="4">
        <f t="shared" si="1"/>
        <v>11790.892646995715</v>
      </c>
      <c r="E37" s="4">
        <f t="shared" si="2"/>
        <v>222030.186767167</v>
      </c>
      <c r="F37" s="5">
        <f>$B$2+(1-$B$6)*(1-$B$7)^26*$B$2+(1-$B$6)*(1-$B$7)^25*$B$2+(1-$B$6)*(1-$B$7)^24*$B$2+(1-$B$6)*(1-$B$7)^23*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743.27141175965698</v>
      </c>
    </row>
    <row r="38" spans="1:6" x14ac:dyDescent="0.35">
      <c r="A38" s="1">
        <v>29</v>
      </c>
      <c r="B38" s="4">
        <f t="shared" si="0"/>
        <v>3125</v>
      </c>
      <c r="C38" s="4">
        <f>(1-$B$6)*(1-$B$7)^27*$B$2*$B$3*$B$5+(1-$B$6)*(1-$B$7)^26*$B$2*$B$3*$B$5+(1-$B$6)*(1-$B$7)^25*$B$2*$B$3*$B$5+(1-$B$6)*(1-$B$7)^24*$B$2*$B$3*$B$5+(1-$B$6)*(1-$B$7)^23*$B$2*$B$3*$B$5+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8886.7453308208205</v>
      </c>
      <c r="D38" s="4">
        <f t="shared" si="1"/>
        <v>12011.745330820821</v>
      </c>
      <c r="E38" s="4">
        <f t="shared" si="2"/>
        <v>234041.93209798782</v>
      </c>
      <c r="F38" s="5">
        <f>$B$2+(1-$B$6)*(1-$B$7)^27*$B$2+(1-$B$6)*(1-$B$7)^26*$B$2+(1-$B$6)*(1-$B$7)^25*$B$2+(1-$B$6)*(1-$B$7)^24*$B$2+(1-$B$6)*(1-$B$7)^23*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760.93962646566558</v>
      </c>
    </row>
    <row r="39" spans="1:6" x14ac:dyDescent="0.35">
      <c r="A39" s="1">
        <v>30</v>
      </c>
      <c r="B39" s="4">
        <f t="shared" si="0"/>
        <v>3125</v>
      </c>
      <c r="C39" s="4">
        <f>(1-$B$6)*(1-$B$7)^28*$B$2*$B$3*$B$5+(1-$B$6)*(1-$B$7)^27*$B$2*$B$3*$B$5+(1-$B$6)*(1-$B$7)^26*$B$2*$B$3*$B$5+(1-$B$6)*(1-$B$7)^25*$B$2*$B$3*$B$5+(1-$B$6)*(1-$B$7)^24*$B$2*$B$3*$B$5+(1-$B$6)*(1-$B$7)^23*$B$2*$B$3*$B$5+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9102.0766975502993</v>
      </c>
      <c r="D39" s="4">
        <f t="shared" si="1"/>
        <v>12227.076697550299</v>
      </c>
      <c r="E39" s="4">
        <f t="shared" si="2"/>
        <v>246269.00879553813</v>
      </c>
      <c r="F39" s="5">
        <f>$B$2+(1-$B$6)*(1-$B$7)^28*$B$2+(1-$B$6)*(1-$B$7)^27*$B$2+(1-$B$6)*(1-$B$7)^26*$B$2+(1-$B$6)*(1-$B$7)^25*$B$2+(1-$B$6)*(1-$B$7)^24*$B$2+(1-$B$6)*(1-$B$7)^23*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778.16613580402384</v>
      </c>
    </row>
    <row r="40" spans="1:6" x14ac:dyDescent="0.35">
      <c r="A40" s="1">
        <v>31</v>
      </c>
      <c r="B40" s="4">
        <f t="shared" si="0"/>
        <v>3125</v>
      </c>
      <c r="C40" s="4">
        <f>(1-$B$6)*(1-$B$7)^29*$B$2*$B$3*$B$5+(1-$B$6)*(1-$B$7)^28*$B$2*$B$3*$B$5+(1-$B$6)*(1-$B$7)^27*$B$2*$B$3*$B$5+(1-$B$6)*(1-$B$7)^26*$B$2*$B$3*$B$5+(1-$B$6)*(1-$B$7)^25*$B$2*$B$3*$B$5+(1-$B$6)*(1-$B$7)^24*$B$2*$B$3*$B$5+(1-$B$6)*(1-$B$7)^23*$B$2*$B$3*$B$5+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9312.024780111542</v>
      </c>
      <c r="D40" s="4">
        <f t="shared" si="1"/>
        <v>12437.024780111542</v>
      </c>
      <c r="E40" s="4">
        <f t="shared" si="2"/>
        <v>258706.03357564966</v>
      </c>
      <c r="F40" s="5">
        <f>$B$2+(1-$B$6)*(1-$B$7)^29*$B$2+(1-$B$6)*(1-$B$7)^28*$B$2+(1-$B$6)*(1-$B$7)^27*$B$2+(1-$B$6)*(1-$B$7)^26*$B$2+(1-$B$6)*(1-$B$7)^25*$B$2+(1-$B$6)*(1-$B$7)^24*$B$2+(1-$B$6)*(1-$B$7)^23*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794.96198240892329</v>
      </c>
    </row>
    <row r="41" spans="1:6" x14ac:dyDescent="0.35">
      <c r="A41" s="1">
        <v>32</v>
      </c>
      <c r="B41" s="4">
        <f t="shared" si="0"/>
        <v>3125</v>
      </c>
      <c r="C41" s="4">
        <f>(1-$B$6)*(1-$B$7)^30*$B$2*$B$3*$B$5+(1-$B$6)*(1-$B$7)^29*$B$2*$B$3*$B$5+(1-$B$6)*(1-$B$7)^28*$B$2*$B$3*$B$5+(1-$B$6)*(1-$B$7)^27*$B$2*$B$3*$B$5+(1-$B$6)*(1-$B$7)^26*$B$2*$B$3*$B$5+(1-$B$6)*(1-$B$7)^25*$B$2*$B$3*$B$5+(1-$B$6)*(1-$B$7)^24*$B$2*$B$3*$B$5+(1-$B$6)*(1-$B$7)^23*$B$2*$B$3*$B$5+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9516.7241606087537</v>
      </c>
      <c r="D41" s="4">
        <f t="shared" si="1"/>
        <v>12641.724160608754</v>
      </c>
      <c r="E41" s="4">
        <f t="shared" si="2"/>
        <v>271347.75773625844</v>
      </c>
      <c r="F41" s="5">
        <f>$B$2+(1-$B$6)*(1-$B$7)^30*$B$2+(1-$B$6)*(1-$B$7)^29*$B$2+(1-$B$6)*(1-$B$7)^28*$B$2+(1-$B$6)*(1-$B$7)^27*$B$2+(1-$B$6)*(1-$B$7)^26*$B$2+(1-$B$6)*(1-$B$7)^25*$B$2+(1-$B$6)*(1-$B$7)^24*$B$2+(1-$B$6)*(1-$B$7)^23*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811.33793284870023</v>
      </c>
    </row>
    <row r="42" spans="1:6" x14ac:dyDescent="0.35">
      <c r="A42" s="1">
        <v>33</v>
      </c>
      <c r="B42" s="4">
        <f t="shared" si="0"/>
        <v>3125</v>
      </c>
      <c r="C42" s="4">
        <f>(1-$B$6)*(1-$B$7)^31*$B$2*$B$3*$B$5+(1-$B$6)*(1-$B$7)^30*$B$2*$B$3*$B$5+(1-$B$6)*(1-$B$7)^29*$B$2*$B$3*$B$5+(1-$B$6)*(1-$B$7)^28*$B$2*$B$3*$B$5+(1-$B$6)*(1-$B$7)^27*$B$2*$B$3*$B$5+(1-$B$6)*(1-$B$7)^26*$B$2*$B$3*$B$5+(1-$B$6)*(1-$B$7)^25*$B$2*$B$3*$B$5+(1-$B$6)*(1-$B$7)^24*$B$2*$B$3*$B$5+(1-$B$6)*(1-$B$7)^23*$B$2*$B$3*$B$5+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9716.3060565935339</v>
      </c>
      <c r="D42" s="4">
        <f t="shared" si="1"/>
        <v>12841.306056593534</v>
      </c>
      <c r="E42" s="4">
        <f t="shared" si="2"/>
        <v>284189.06379285199</v>
      </c>
      <c r="F42" s="5">
        <f>$B$2+(1-$B$6)*(1-$B$7)^31*$B$2+(1-$B$6)*(1-$B$7)^30*$B$2+(1-$B$6)*(1-$B$7)^29*$B$2+(1-$B$6)*(1-$B$7)^28*$B$2+(1-$B$6)*(1-$B$7)^27*$B$2+(1-$B$6)*(1-$B$7)^26*$B$2+(1-$B$6)*(1-$B$7)^25*$B$2+(1-$B$6)*(1-$B$7)^24*$B$2+(1-$B$6)*(1-$B$7)^23*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827.30448452748271</v>
      </c>
    </row>
    <row r="43" spans="1:6" x14ac:dyDescent="0.35">
      <c r="A43" s="1">
        <v>34</v>
      </c>
      <c r="B43" s="4">
        <f t="shared" si="0"/>
        <v>3125</v>
      </c>
      <c r="C43" s="4">
        <f>(1-$B$6)*(1-$B$7)^32*$B$2*$B$3*$B$5+(1-$B$6)*(1-$B$7)^31*$B$2*$B$3*$B$5+(1-$B$6)*(1-$B$7)^30*$B$2*$B$3*$B$5+(1-$B$6)*(1-$B$7)^29*$B$2*$B$3*$B$5+(1-$B$6)*(1-$B$7)^28*$B$2*$B$3*$B$5+(1-$B$6)*(1-$B$7)^27*$B$2*$B$3*$B$5+(1-$B$6)*(1-$B$7)^26*$B$2*$B$3*$B$5+(1-$B$6)*(1-$B$7)^25*$B$2*$B$3*$B$5+(1-$B$6)*(1-$B$7)^24*$B$2*$B$3*$B$5+(1-$B$6)*(1-$B$7)^23*$B$2*$B$3*$B$5+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9910.8984051786974</v>
      </c>
      <c r="D43" s="4">
        <f t="shared" si="1"/>
        <v>13035.898405178697</v>
      </c>
      <c r="E43" s="4">
        <f t="shared" si="2"/>
        <v>297224.96219803067</v>
      </c>
      <c r="F43" s="5">
        <f>$B$2+(1-$B$6)*(1-$B$7)^32*$B$2+(1-$B$6)*(1-$B$7)^31*$B$2+(1-$B$6)*(1-$B$7)^30*$B$2+(1-$B$6)*(1-$B$7)^29*$B$2+(1-$B$6)*(1-$B$7)^28*$B$2+(1-$B$6)*(1-$B$7)^27*$B$2+(1-$B$6)*(1-$B$7)^26*$B$2+(1-$B$6)*(1-$B$7)^25*$B$2+(1-$B$6)*(1-$B$7)^24*$B$2+(1-$B$6)*(1-$B$7)^23*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842.87187241429558</v>
      </c>
    </row>
    <row r="44" spans="1:6" x14ac:dyDescent="0.35">
      <c r="A44" s="1">
        <v>35</v>
      </c>
      <c r="B44" s="4">
        <f t="shared" si="0"/>
        <v>3125</v>
      </c>
      <c r="C44" s="4">
        <f>(1-$B$6)*(1-$B$7)^33*$B$2*$B$3*$B$5+(1-$B$6)*(1-$B$7)^32*$B$2*$B$3*$B$5+(1-$B$6)*(1-$B$7)^31*$B$2*$B$3*$B$5+(1-$B$6)*(1-$B$7)^30*$B$2*$B$3*$B$5+(1-$B$6)*(1-$B$7)^29*$B$2*$B$3*$B$5+(1-$B$6)*(1-$B$7)^28*$B$2*$B$3*$B$5+(1-$B$6)*(1-$B$7)^27*$B$2*$B$3*$B$5+(1-$B$6)*(1-$B$7)^26*$B$2*$B$3*$B$5+(1-$B$6)*(1-$B$7)^25*$B$2*$B$3*$B$5+(1-$B$6)*(1-$B$7)^24*$B$2*$B$3*$B$5+(1-$B$6)*(1-$B$7)^23*$B$2*$B$3*$B$5+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10100.625945049229</v>
      </c>
      <c r="D44" s="4">
        <f t="shared" si="1"/>
        <v>13225.625945049229</v>
      </c>
      <c r="E44" s="4">
        <f t="shared" si="2"/>
        <v>310450.58814307989</v>
      </c>
      <c r="F44" s="5">
        <f>$B$2+(1-$B$6)*(1-$B$7)^33*$B$2+(1-$B$6)*(1-$B$7)^32*$B$2+(1-$B$6)*(1-$B$7)^31*$B$2+(1-$B$6)*(1-$B$7)^30*$B$2+(1-$B$6)*(1-$B$7)^29*$B$2+(1-$B$6)*(1-$B$7)^28*$B$2+(1-$B$6)*(1-$B$7)^27*$B$2+(1-$B$6)*(1-$B$7)^26*$B$2+(1-$B$6)*(1-$B$7)^25*$B$2+(1-$B$6)*(1-$B$7)^24*$B$2+(1-$B$6)*(1-$B$7)^23*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858.05007560393824</v>
      </c>
    </row>
    <row r="45" spans="1:6" x14ac:dyDescent="0.35">
      <c r="A45" s="1">
        <v>36</v>
      </c>
      <c r="B45" s="4">
        <f t="shared" si="0"/>
        <v>3125</v>
      </c>
      <c r="C45" s="4">
        <f>(1-$B$6)*(1-$B$7)^34*$B$2*$B$3*$B$5+(1-$B$6)*(1-$B$7)^33*$B$2*$B$3*$B$5+(1-$B$6)*(1-$B$7)^32*$B$2*$B$3*$B$5+(1-$B$6)*(1-$B$7)^31*$B$2*$B$3*$B$5+(1-$B$6)*(1-$B$7)^30*$B$2*$B$3*$B$5+(1-$B$6)*(1-$B$7)^29*$B$2*$B$3*$B$5+(1-$B$6)*(1-$B$7)^28*$B$2*$B$3*$B$5+(1-$B$6)*(1-$B$7)^27*$B$2*$B$3*$B$5+(1-$B$6)*(1-$B$7)^26*$B$2*$B$3*$B$5+(1-$B$6)*(1-$B$7)^25*$B$2*$B$3*$B$5+(1-$B$6)*(1-$B$7)^24*$B$2*$B$3*$B$5+(1-$B$6)*(1-$B$7)^23*$B$2*$B$3*$B$5+(1-$B$6)*(1-$B$7)^22*$B$2*$B$3*$B$5+(1-$B$6)*(1-$B$7)^21*$B$2*$B$3*$B$5+(1-$B$6)*(1-$B$7)^20*$B$2*$B$3*$B$5+(1-$B$6)*(1-$B$7)^19*$B$2*$B$3*$B$5+(1-$B$6)*(1-$B$7)^18*$B$2*$B$3*$B$5+(1-$B$6)*(1-$B$7)^17*$B$2*$B$3*$B$5+(1-$B$6)*(1-$B$7)^16*$B$2*$B$3*$B$5+(1-$B$6)*(1-$B$7)^15*$B$2*$B$3*$B$5+(1-$B$6)*(1-$B$7)^14*$B$2*$B$3*$B$5+(1-$B$6)*(1-$B$7)^13*$B$2*$B$3*$B$5+(1-$B$6)*(1-$B$7)^12*$B$2*$B$3*$B$5+(1-$B$6)*(1-$B$7)^11*$B$2*$B$3*$B$5+(1-$B$6)*(1-$B$7)^10*$B$2*$B$3*$B$5+(1-$B$6)*(1-$B$7)^9*$B$2*$B$3*$B$5+(1-$B$6)*(1-$B$7)^8*$B$2*$B$3*$B$5+(1-$B$6)*(1-$B$7)^7*$B$2*$B$3*$B$5+(1-$B$6)*(1-$B$7)^6*$B$2*$B$3*$B$5+(1-$B$6)*(1-$B$7)^5*$B$2*$B$3*$B$5+(1-$B$6)*(1-$B$7)^4*$B$2*$B$3*$B$5+(1-$B$6)*(1-$B$7)^3*$B$2*$B$3*$B$5+(1-$B$6)*(1-$B$7)^2*$B$2*$B$3*$B$5+(1-$B$6)*(1-$B$7)^1*$B$2*$B$3*$B$5+(1-$B$6)*$B$2*$B$3*$B$5</f>
        <v>10285.610296422999</v>
      </c>
      <c r="D45" s="4">
        <f t="shared" si="1"/>
        <v>13410.610296422999</v>
      </c>
      <c r="E45" s="4">
        <f t="shared" si="2"/>
        <v>323861.19843950291</v>
      </c>
      <c r="F45" s="5">
        <f>$B$2+(1-$B$6)*(1-$B$7)^34*$B$2+(1-$B$6)*(1-$B$7)^33*$B$2+(1-$B$6)*(1-$B$7)^32*$B$2+(1-$B$6)*(1-$B$7)^31*$B$2+(1-$B$6)*(1-$B$7)^30*$B$2+(1-$B$6)*(1-$B$7)^29*$B$2+(1-$B$6)*(1-$B$7)^28*$B$2+(1-$B$6)*(1-$B$7)^27*$B$2+(1-$B$6)*(1-$B$7)^26*$B$2+(1-$B$6)*(1-$B$7)^25*$B$2+(1-$B$6)*(1-$B$7)^24*$B$2+(1-$B$6)*(1-$B$7)^23*$B$2+(1-$B$6)*(1-$B$7)^22*$B$2+(1-$B$6)*(1-$B$7)^21*$B$2+(1-$B$6)*(1-$B$7)^20*$B$2+(1-$B$6)*(1-$B$7)^19*$B$2+(1-$B$6)*(1-$B$7)^18*$B$2+(1-$B$6)*(1-$B$7)^17*$B$2+(1-$B$6)*(1-$B$7)^16*$B$2+(1-$B$6)*(1-$B$7)^15*$B$2+(1-$B$6)*(1-$B$7)^14*$B$2+(1-$B$6)*(1-$B$7)^13*$B$2+(1-$B$6)*(1-$B$7)^12*$B$2+(1-$B$6)*(1-$B$7)^11*$B$2+(1-$B$6)*(1-$B$7)^10*$B$2+(1-$B$6)*(1-$B$7)^9*$B$2+(1-$B$6)*(1-$B$7)^8*$B$2+(1-$B$6)*(1-$B$7)^7*$B$2+(1-$B$6)*(1-$B$7)^6*$B$2+(1-$B$6)*(1-$B$7)^5*$B$2+(1-$B$6)*(1-$B$7)^4*$B$2+(1-$B$6)*(1-$B$7)^3*$B$2+(1-$B$6)*(1-$B$7)^2*$B$2+(1-$B$6)*(1-$B$7)^1*$B$2+(1-$B$6)*$B$2</f>
        <v>872.84882371383969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f>'Proyección 36 Meses'!A10</f>
        <v>1</v>
      </c>
      <c r="B2">
        <f>'Proyección 36 Meses'!B10</f>
        <v>3125</v>
      </c>
      <c r="C2">
        <f>'Proyección 36 Meses'!C10</f>
        <v>0</v>
      </c>
      <c r="D2">
        <f>'Proyección 36 Meses'!D10</f>
        <v>3125</v>
      </c>
      <c r="E2">
        <f>'Proyección 36 Meses'!E10</f>
        <v>3125</v>
      </c>
    </row>
    <row r="3" spans="1:5" x14ac:dyDescent="0.35">
      <c r="A3">
        <f>'Proyección 36 Meses'!A11</f>
        <v>2</v>
      </c>
      <c r="B3">
        <f>'Proyección 36 Meses'!B11</f>
        <v>3125</v>
      </c>
      <c r="C3">
        <f>'Proyección 36 Meses'!C11</f>
        <v>437.5</v>
      </c>
      <c r="D3">
        <f>'Proyección 36 Meses'!D11</f>
        <v>3562.5</v>
      </c>
      <c r="E3">
        <f>'Proyección 36 Meses'!E11</f>
        <v>6687.5</v>
      </c>
    </row>
    <row r="4" spans="1:5" x14ac:dyDescent="0.35">
      <c r="A4">
        <f>'Proyección 36 Meses'!A12</f>
        <v>3</v>
      </c>
      <c r="B4">
        <f>'Proyección 36 Meses'!B12</f>
        <v>3125</v>
      </c>
      <c r="C4">
        <f>'Proyección 36 Meses'!C12</f>
        <v>864.0625</v>
      </c>
      <c r="D4">
        <f>'Proyección 36 Meses'!D12</f>
        <v>3989.0625</v>
      </c>
      <c r="E4">
        <f>'Proyección 36 Meses'!E12</f>
        <v>10676.5625</v>
      </c>
    </row>
    <row r="5" spans="1:5" x14ac:dyDescent="0.35">
      <c r="A5">
        <f>'Proyección 36 Meses'!A13</f>
        <v>4</v>
      </c>
      <c r="B5">
        <f>'Proyección 36 Meses'!B13</f>
        <v>3125</v>
      </c>
      <c r="C5">
        <f>'Proyección 36 Meses'!C13</f>
        <v>1279.9609375</v>
      </c>
      <c r="D5">
        <f>'Proyección 36 Meses'!D13</f>
        <v>4404.9609375</v>
      </c>
      <c r="E5">
        <f>'Proyección 36 Meses'!E13</f>
        <v>15081.5234375</v>
      </c>
    </row>
    <row r="6" spans="1:5" x14ac:dyDescent="0.35">
      <c r="A6">
        <f>'Proyección 36 Meses'!A14</f>
        <v>5</v>
      </c>
      <c r="B6">
        <f>'Proyección 36 Meses'!B14</f>
        <v>3125</v>
      </c>
      <c r="C6">
        <f>'Proyección 36 Meses'!C14</f>
        <v>1685.4619140625</v>
      </c>
      <c r="D6">
        <f>'Proyección 36 Meses'!D14</f>
        <v>4810.4619140625</v>
      </c>
      <c r="E6">
        <f>'Proyección 36 Meses'!E14</f>
        <v>19891.9853515625</v>
      </c>
    </row>
    <row r="7" spans="1:5" x14ac:dyDescent="0.35">
      <c r="A7">
        <f>'Proyección 36 Meses'!A15</f>
        <v>6</v>
      </c>
      <c r="B7">
        <f>'Proyección 36 Meses'!B15</f>
        <v>3125</v>
      </c>
      <c r="C7">
        <f>'Proyección 36 Meses'!C15</f>
        <v>2080.8253662109373</v>
      </c>
      <c r="D7">
        <f>'Proyección 36 Meses'!D15</f>
        <v>5205.8253662109373</v>
      </c>
      <c r="E7">
        <f>'Proyección 36 Meses'!E15</f>
        <v>25097.810717773438</v>
      </c>
    </row>
    <row r="8" spans="1:5" x14ac:dyDescent="0.35">
      <c r="A8">
        <f>'Proyección 36 Meses'!A16</f>
        <v>7</v>
      </c>
      <c r="B8">
        <f>'Proyección 36 Meses'!B16</f>
        <v>3125</v>
      </c>
      <c r="C8">
        <f>'Proyección 36 Meses'!C16</f>
        <v>2466.3047320556639</v>
      </c>
      <c r="D8">
        <f>'Proyección 36 Meses'!D16</f>
        <v>5591.3047320556634</v>
      </c>
      <c r="E8">
        <f>'Proyección 36 Meses'!E16</f>
        <v>30689.1154498291</v>
      </c>
    </row>
    <row r="9" spans="1:5" x14ac:dyDescent="0.35">
      <c r="A9">
        <f>'Proyección 36 Meses'!A17</f>
        <v>8</v>
      </c>
      <c r="B9">
        <f>'Proyección 36 Meses'!B17</f>
        <v>3125</v>
      </c>
      <c r="C9">
        <f>'Proyección 36 Meses'!C17</f>
        <v>2842.1471137542721</v>
      </c>
      <c r="D9">
        <f>'Proyección 36 Meses'!D17</f>
        <v>5967.1471137542721</v>
      </c>
      <c r="E9">
        <f>'Proyección 36 Meses'!E17</f>
        <v>36656.262563583368</v>
      </c>
    </row>
    <row r="10" spans="1:5" x14ac:dyDescent="0.35">
      <c r="A10">
        <f>'Proyección 36 Meses'!A18</f>
        <v>9</v>
      </c>
      <c r="B10">
        <f>'Proyección 36 Meses'!B18</f>
        <v>3125</v>
      </c>
      <c r="C10">
        <f>'Proyección 36 Meses'!C18</f>
        <v>3208.5934359104153</v>
      </c>
      <c r="D10">
        <f>'Proyección 36 Meses'!D18</f>
        <v>6333.5934359104158</v>
      </c>
      <c r="E10">
        <f>'Proyección 36 Meses'!E18</f>
        <v>42989.855999493782</v>
      </c>
    </row>
    <row r="11" spans="1:5" x14ac:dyDescent="0.35">
      <c r="A11">
        <f>'Proyección 36 Meses'!A19</f>
        <v>10</v>
      </c>
      <c r="B11">
        <f>'Proyección 36 Meses'!B19</f>
        <v>3125</v>
      </c>
      <c r="C11">
        <f>'Proyección 36 Meses'!C19</f>
        <v>3565.8786000126547</v>
      </c>
      <c r="D11">
        <f>'Proyección 36 Meses'!D19</f>
        <v>6690.8786000126547</v>
      </c>
      <c r="E11">
        <f>'Proyección 36 Meses'!E19</f>
        <v>49680.734599506439</v>
      </c>
    </row>
    <row r="12" spans="1:5" x14ac:dyDescent="0.35">
      <c r="A12">
        <f>'Proyección 36 Meses'!A20</f>
        <v>11</v>
      </c>
      <c r="B12">
        <f>'Proyección 36 Meses'!B20</f>
        <v>3125</v>
      </c>
      <c r="C12">
        <f>'Proyección 36 Meses'!C20</f>
        <v>3914.2316350123383</v>
      </c>
      <c r="D12">
        <f>'Proyección 36 Meses'!D20</f>
        <v>7039.2316350123383</v>
      </c>
      <c r="E12">
        <f>'Proyección 36 Meses'!E20</f>
        <v>56719.966234518775</v>
      </c>
    </row>
    <row r="13" spans="1:5" x14ac:dyDescent="0.35">
      <c r="A13">
        <f>'Proyección 36 Meses'!A21</f>
        <v>12</v>
      </c>
      <c r="B13">
        <f>'Proyección 36 Meses'!B21</f>
        <v>3125</v>
      </c>
      <c r="C13">
        <f>'Proyección 36 Meses'!C21</f>
        <v>4253.8758441370301</v>
      </c>
      <c r="D13">
        <f>'Proyección 36 Meses'!D21</f>
        <v>7378.8758441370301</v>
      </c>
      <c r="E13">
        <f>'Proyección 36 Meses'!E21</f>
        <v>64098.842078655805</v>
      </c>
    </row>
    <row r="14" spans="1:5" x14ac:dyDescent="0.35">
      <c r="A14">
        <f>'Proyección 36 Meses'!A22</f>
        <v>13</v>
      </c>
      <c r="B14">
        <f>'Proyección 36 Meses'!B22</f>
        <v>3125</v>
      </c>
      <c r="C14">
        <f>'Proyección 36 Meses'!C22</f>
        <v>4585.0289480336032</v>
      </c>
      <c r="D14">
        <f>'Proyección 36 Meses'!D22</f>
        <v>7710.0289480336032</v>
      </c>
      <c r="E14">
        <f>'Proyección 36 Meses'!E22</f>
        <v>71808.871026689405</v>
      </c>
    </row>
    <row r="15" spans="1:5" x14ac:dyDescent="0.35">
      <c r="A15">
        <f>'Proyección 36 Meses'!A23</f>
        <v>14</v>
      </c>
      <c r="B15">
        <f>'Proyección 36 Meses'!B23</f>
        <v>3125</v>
      </c>
      <c r="C15">
        <f>'Proyección 36 Meses'!C23</f>
        <v>4907.9032243327638</v>
      </c>
      <c r="D15">
        <f>'Proyección 36 Meses'!D23</f>
        <v>8032.9032243327638</v>
      </c>
      <c r="E15">
        <f>'Proyección 36 Meses'!E23</f>
        <v>79841.774251022172</v>
      </c>
    </row>
    <row r="16" spans="1:5" x14ac:dyDescent="0.35">
      <c r="A16">
        <f>'Proyección 36 Meses'!A24</f>
        <v>15</v>
      </c>
      <c r="B16">
        <f>'Proyección 36 Meses'!B24</f>
        <v>3125</v>
      </c>
      <c r="C16">
        <f>'Proyección 36 Meses'!C24</f>
        <v>5222.7056437244437</v>
      </c>
      <c r="D16">
        <f>'Proyección 36 Meses'!D24</f>
        <v>8347.7056437244428</v>
      </c>
      <c r="E16">
        <f>'Proyección 36 Meses'!E24</f>
        <v>88189.479894746619</v>
      </c>
    </row>
    <row r="17" spans="1:5" x14ac:dyDescent="0.35">
      <c r="A17">
        <f>'Proyección 36 Meses'!A25</f>
        <v>16</v>
      </c>
      <c r="B17">
        <f>'Proyección 36 Meses'!B25</f>
        <v>3125</v>
      </c>
      <c r="C17">
        <f>'Proyección 36 Meses'!C25</f>
        <v>5529.6380026313327</v>
      </c>
      <c r="D17">
        <f>'Proyección 36 Meses'!D25</f>
        <v>8654.6380026313327</v>
      </c>
      <c r="E17">
        <f>'Proyección 36 Meses'!E25</f>
        <v>96844.117897377946</v>
      </c>
    </row>
    <row r="18" spans="1:5" x14ac:dyDescent="0.35">
      <c r="A18">
        <f>'Proyección 36 Meses'!A26</f>
        <v>17</v>
      </c>
      <c r="B18">
        <f>'Proyección 36 Meses'!B26</f>
        <v>3125</v>
      </c>
      <c r="C18">
        <f>'Proyección 36 Meses'!C26</f>
        <v>5828.8970525655495</v>
      </c>
      <c r="D18">
        <f>'Proyección 36 Meses'!D26</f>
        <v>8953.8970525655495</v>
      </c>
      <c r="E18">
        <f>'Proyección 36 Meses'!E26</f>
        <v>105798.01494994349</v>
      </c>
    </row>
    <row r="19" spans="1:5" x14ac:dyDescent="0.35">
      <c r="A19">
        <f>'Proyección 36 Meses'!A27</f>
        <v>18</v>
      </c>
      <c r="B19">
        <f>'Proyección 36 Meses'!B27</f>
        <v>3125</v>
      </c>
      <c r="C19">
        <f>'Proyección 36 Meses'!C27</f>
        <v>6120.6746262514107</v>
      </c>
      <c r="D19">
        <f>'Proyección 36 Meses'!D27</f>
        <v>9245.6746262514098</v>
      </c>
      <c r="E19">
        <f>'Proyección 36 Meses'!E27</f>
        <v>115043.6895761949</v>
      </c>
    </row>
    <row r="20" spans="1:5" x14ac:dyDescent="0.35">
      <c r="A20">
        <f>'Proyección 36 Meses'!A28</f>
        <v>19</v>
      </c>
      <c r="B20">
        <f>'Proyección 36 Meses'!B28</f>
        <v>3125</v>
      </c>
      <c r="C20">
        <f>'Proyección 36 Meses'!C28</f>
        <v>6405.1577605951252</v>
      </c>
      <c r="D20">
        <f>'Proyección 36 Meses'!D28</f>
        <v>9530.1577605951243</v>
      </c>
      <c r="E20">
        <f>'Proyección 36 Meses'!E28</f>
        <v>124573.84733679003</v>
      </c>
    </row>
    <row r="21" spans="1:5" x14ac:dyDescent="0.35">
      <c r="A21">
        <f>'Proyección 36 Meses'!A29</f>
        <v>20</v>
      </c>
      <c r="B21">
        <f>'Proyección 36 Meses'!B29</f>
        <v>3125</v>
      </c>
      <c r="C21">
        <f>'Proyección 36 Meses'!C29</f>
        <v>6682.5288165802476</v>
      </c>
      <c r="D21">
        <f>'Proyección 36 Meses'!D29</f>
        <v>9807.5288165802485</v>
      </c>
      <c r="E21">
        <f>'Proyección 36 Meses'!E29</f>
        <v>134381.37615337028</v>
      </c>
    </row>
    <row r="22" spans="1:5" x14ac:dyDescent="0.35">
      <c r="A22">
        <f>'Proyección 36 Meses'!A30</f>
        <v>21</v>
      </c>
      <c r="B22">
        <f>'Proyección 36 Meses'!B30</f>
        <v>3125</v>
      </c>
      <c r="C22">
        <f>'Proyección 36 Meses'!C30</f>
        <v>6952.96559616574</v>
      </c>
      <c r="D22">
        <f>'Proyección 36 Meses'!D30</f>
        <v>10077.965596165741</v>
      </c>
      <c r="E22">
        <f>'Proyección 36 Meses'!E30</f>
        <v>144459.34174953602</v>
      </c>
    </row>
    <row r="23" spans="1:5" x14ac:dyDescent="0.35">
      <c r="A23">
        <f>'Proyección 36 Meses'!A31</f>
        <v>22</v>
      </c>
      <c r="B23">
        <f>'Proyección 36 Meses'!B31</f>
        <v>3125</v>
      </c>
      <c r="C23">
        <f>'Proyección 36 Meses'!C31</f>
        <v>7216.6414562615964</v>
      </c>
      <c r="D23">
        <f>'Proyección 36 Meses'!D31</f>
        <v>10341.641456261597</v>
      </c>
      <c r="E23">
        <f>'Proyección 36 Meses'!E31</f>
        <v>154800.98320579762</v>
      </c>
    </row>
    <row r="24" spans="1:5" x14ac:dyDescent="0.35">
      <c r="A24">
        <f>'Proyección 36 Meses'!A32</f>
        <v>23</v>
      </c>
      <c r="B24">
        <f>'Proyección 36 Meses'!B32</f>
        <v>3125</v>
      </c>
      <c r="C24">
        <f>'Proyección 36 Meses'!C32</f>
        <v>7473.7254198550572</v>
      </c>
      <c r="D24">
        <f>'Proyección 36 Meses'!D32</f>
        <v>10598.725419855058</v>
      </c>
      <c r="E24">
        <f>'Proyección 36 Meses'!E32</f>
        <v>165399.70862565268</v>
      </c>
    </row>
    <row r="25" spans="1:5" x14ac:dyDescent="0.35">
      <c r="A25">
        <f>'Proyección 36 Meses'!A33</f>
        <v>24</v>
      </c>
      <c r="B25">
        <f>'Proyección 36 Meses'!B33</f>
        <v>3125</v>
      </c>
      <c r="C25">
        <f>'Proyección 36 Meses'!C33</f>
        <v>7724.3822843586795</v>
      </c>
      <c r="D25">
        <f>'Proyección 36 Meses'!D33</f>
        <v>10849.382284358679</v>
      </c>
      <c r="E25">
        <f>'Proyección 36 Meses'!E33</f>
        <v>176249.09091001135</v>
      </c>
    </row>
    <row r="26" spans="1:5" x14ac:dyDescent="0.35">
      <c r="A26">
        <f>'Proyección 36 Meses'!A34</f>
        <v>25</v>
      </c>
      <c r="B26">
        <f>'Proyección 36 Meses'!B34</f>
        <v>3125</v>
      </c>
      <c r="C26">
        <f>'Proyección 36 Meses'!C34</f>
        <v>7968.7727272497132</v>
      </c>
      <c r="D26">
        <f>'Proyección 36 Meses'!D34</f>
        <v>11093.772727249714</v>
      </c>
      <c r="E26">
        <f>'Proyección 36 Meses'!E34</f>
        <v>187342.86363726106</v>
      </c>
    </row>
    <row r="27" spans="1:5" x14ac:dyDescent="0.35">
      <c r="A27">
        <f>'Proyección 36 Meses'!A35</f>
        <v>26</v>
      </c>
      <c r="B27">
        <f>'Proyección 36 Meses'!B35</f>
        <v>3125</v>
      </c>
      <c r="C27">
        <f>'Proyección 36 Meses'!C35</f>
        <v>8207.0534090684705</v>
      </c>
      <c r="D27">
        <f>'Proyección 36 Meses'!D35</f>
        <v>11332.053409068471</v>
      </c>
      <c r="E27">
        <f>'Proyección 36 Meses'!E35</f>
        <v>198674.91704632953</v>
      </c>
    </row>
    <row r="28" spans="1:5" x14ac:dyDescent="0.35">
      <c r="A28">
        <f>'Proyección 36 Meses'!A36</f>
        <v>27</v>
      </c>
      <c r="B28">
        <f>'Proyección 36 Meses'!B36</f>
        <v>3125</v>
      </c>
      <c r="C28">
        <f>'Proyección 36 Meses'!C36</f>
        <v>8439.3770738417588</v>
      </c>
      <c r="D28">
        <f>'Proyección 36 Meses'!D36</f>
        <v>11564.377073841759</v>
      </c>
      <c r="E28">
        <f>'Proyección 36 Meses'!E36</f>
        <v>210239.29412017128</v>
      </c>
    </row>
    <row r="29" spans="1:5" x14ac:dyDescent="0.35">
      <c r="A29">
        <f>'Proyección 36 Meses'!A37</f>
        <v>28</v>
      </c>
      <c r="B29">
        <f>'Proyección 36 Meses'!B37</f>
        <v>3125</v>
      </c>
      <c r="C29">
        <f>'Proyección 36 Meses'!C37</f>
        <v>8665.892646995715</v>
      </c>
      <c r="D29">
        <f>'Proyección 36 Meses'!D37</f>
        <v>11790.892646995715</v>
      </c>
      <c r="E29">
        <f>'Proyección 36 Meses'!E37</f>
        <v>222030.186767167</v>
      </c>
    </row>
    <row r="30" spans="1:5" x14ac:dyDescent="0.35">
      <c r="A30">
        <f>'Proyección 36 Meses'!A38</f>
        <v>29</v>
      </c>
      <c r="B30">
        <f>'Proyección 36 Meses'!B38</f>
        <v>3125</v>
      </c>
      <c r="C30">
        <f>'Proyección 36 Meses'!C38</f>
        <v>8886.7453308208205</v>
      </c>
      <c r="D30">
        <f>'Proyección 36 Meses'!D38</f>
        <v>12011.745330820821</v>
      </c>
      <c r="E30">
        <f>'Proyección 36 Meses'!E38</f>
        <v>234041.93209798782</v>
      </c>
    </row>
    <row r="31" spans="1:5" x14ac:dyDescent="0.35">
      <c r="A31">
        <f>'Proyección 36 Meses'!A39</f>
        <v>30</v>
      </c>
      <c r="B31">
        <f>'Proyección 36 Meses'!B39</f>
        <v>3125</v>
      </c>
      <c r="C31">
        <f>'Proyección 36 Meses'!C39</f>
        <v>9102.0766975502993</v>
      </c>
      <c r="D31">
        <f>'Proyección 36 Meses'!D39</f>
        <v>12227.076697550299</v>
      </c>
      <c r="E31">
        <f>'Proyección 36 Meses'!E39</f>
        <v>246269.00879553813</v>
      </c>
    </row>
    <row r="32" spans="1:5" x14ac:dyDescent="0.35">
      <c r="A32">
        <f>'Proyección 36 Meses'!A40</f>
        <v>31</v>
      </c>
      <c r="B32">
        <f>'Proyección 36 Meses'!B40</f>
        <v>3125</v>
      </c>
      <c r="C32">
        <f>'Proyección 36 Meses'!C40</f>
        <v>9312.024780111542</v>
      </c>
      <c r="D32">
        <f>'Proyección 36 Meses'!D40</f>
        <v>12437.024780111542</v>
      </c>
      <c r="E32">
        <f>'Proyección 36 Meses'!E40</f>
        <v>258706.03357564966</v>
      </c>
    </row>
    <row r="33" spans="1:5" x14ac:dyDescent="0.35">
      <c r="A33">
        <f>'Proyección 36 Meses'!A41</f>
        <v>32</v>
      </c>
      <c r="B33">
        <f>'Proyección 36 Meses'!B41</f>
        <v>3125</v>
      </c>
      <c r="C33">
        <f>'Proyección 36 Meses'!C41</f>
        <v>9516.7241606087537</v>
      </c>
      <c r="D33">
        <f>'Proyección 36 Meses'!D41</f>
        <v>12641.724160608754</v>
      </c>
      <c r="E33">
        <f>'Proyección 36 Meses'!E41</f>
        <v>271347.75773625844</v>
      </c>
    </row>
    <row r="34" spans="1:5" x14ac:dyDescent="0.35">
      <c r="A34">
        <f>'Proyección 36 Meses'!A42</f>
        <v>33</v>
      </c>
      <c r="B34">
        <f>'Proyección 36 Meses'!B42</f>
        <v>3125</v>
      </c>
      <c r="C34">
        <f>'Proyección 36 Meses'!C42</f>
        <v>9716.3060565935339</v>
      </c>
      <c r="D34">
        <f>'Proyección 36 Meses'!D42</f>
        <v>12841.306056593534</v>
      </c>
      <c r="E34">
        <f>'Proyección 36 Meses'!E42</f>
        <v>284189.06379285199</v>
      </c>
    </row>
    <row r="35" spans="1:5" x14ac:dyDescent="0.35">
      <c r="A35">
        <f>'Proyección 36 Meses'!A43</f>
        <v>34</v>
      </c>
      <c r="B35">
        <f>'Proyección 36 Meses'!B43</f>
        <v>3125</v>
      </c>
      <c r="C35">
        <f>'Proyección 36 Meses'!C43</f>
        <v>9910.8984051786974</v>
      </c>
      <c r="D35">
        <f>'Proyección 36 Meses'!D43</f>
        <v>13035.898405178697</v>
      </c>
      <c r="E35">
        <f>'Proyección 36 Meses'!E43</f>
        <v>297224.96219803067</v>
      </c>
    </row>
    <row r="36" spans="1:5" x14ac:dyDescent="0.35">
      <c r="A36">
        <f>'Proyección 36 Meses'!A44</f>
        <v>35</v>
      </c>
      <c r="B36">
        <f>'Proyección 36 Meses'!B44</f>
        <v>3125</v>
      </c>
      <c r="C36">
        <f>'Proyección 36 Meses'!C44</f>
        <v>10100.625945049229</v>
      </c>
      <c r="D36">
        <f>'Proyección 36 Meses'!D44</f>
        <v>13225.625945049229</v>
      </c>
      <c r="E36">
        <f>'Proyección 36 Meses'!E44</f>
        <v>310450.58814307989</v>
      </c>
    </row>
    <row r="37" spans="1:5" x14ac:dyDescent="0.35">
      <c r="A37">
        <f>'Proyección 36 Meses'!A45</f>
        <v>36</v>
      </c>
      <c r="B37">
        <f>'Proyección 36 Meses'!B45</f>
        <v>3125</v>
      </c>
      <c r="C37">
        <f>'Proyección 36 Meses'!C45</f>
        <v>10285.610296422999</v>
      </c>
      <c r="D37">
        <f>'Proyección 36 Meses'!D45</f>
        <v>13410.610296422999</v>
      </c>
      <c r="E37">
        <f>'Proyección 36 Meses'!E45</f>
        <v>323861.19843950291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Proyección 36 Meses</vt:lpstr>
      <vt:lpstr>Gráfico 36 Meses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Melendez</cp:lastModifiedBy>
  <dcterms:created xsi:type="dcterms:W3CDTF">2025-06-05T19:04:16Z</dcterms:created>
  <dcterms:modified xsi:type="dcterms:W3CDTF">2025-06-05T19:26:25Z</dcterms:modified>
</cp:coreProperties>
</file>